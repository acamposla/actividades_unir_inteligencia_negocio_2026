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camposlamas/Proyectos/ACTIVIDADES_UNIR/EstrategiaYGestiónEmpresarial/Simulacros/"/>
    </mc:Choice>
  </mc:AlternateContent>
  <xr:revisionPtr revIDLastSave="0" documentId="13_ncr:1_{54359718-530E-E14E-9E6F-7642475AA0AA}" xr6:coauthVersionLast="47" xr6:coauthVersionMax="47" xr10:uidLastSave="{00000000-0000-0000-0000-000000000000}"/>
  <bookViews>
    <workbookView xWindow="38400" yWindow="500" windowWidth="21600" windowHeight="37900" activeTab="1" xr2:uid="{36D3A295-AA97-8147-81D2-DE236C820A9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24" i="2"/>
  <c r="C22" i="2"/>
  <c r="C23" i="2"/>
  <c r="C21" i="2"/>
  <c r="C42" i="1"/>
  <c r="C41" i="1"/>
  <c r="C40" i="1"/>
  <c r="C39" i="1"/>
  <c r="C38" i="1"/>
  <c r="C37" i="1"/>
  <c r="B69" i="1"/>
  <c r="B28" i="1"/>
  <c r="B29" i="1" s="1"/>
  <c r="C13" i="1"/>
  <c r="C12" i="1"/>
</calcChain>
</file>

<file path=xl/sharedStrings.xml><?xml version="1.0" encoding="utf-8"?>
<sst xmlns="http://schemas.openxmlformats.org/spreadsheetml/2006/main" count="114" uniqueCount="102">
  <si>
    <t>NIVEL 2: MATRIZ DE ESCENARIOS - BEP CON DOS OFERTAS</t>
  </si>
  <si>
    <t>Estudia este archivo. Traza cada numero hasta entender de donde sale. Despues replicalo tu.</t>
  </si>
  <si>
    <t>========================================</t>
  </si>
  <si>
    <t>SECCION 1: DATOS BASE DEL SEGMENTO</t>
  </si>
  <si>
    <t>Segmento: Clientes B2B Medianos (ya segmentados - periodo sin promo)</t>
  </si>
  <si>
    <t>Concepto</t>
  </si>
  <si>
    <t>Valor</t>
  </si>
  <si>
    <t>Notas</t>
  </si>
  <si>
    <t>Clientes en el segmento (N)</t>
  </si>
  <si>
    <t>Solo este segmento - no toda la base</t>
  </si>
  <si>
    <t>Ticket medio mensual</t>
  </si>
  <si>
    <t>euros - lo que gasta cada cliente al mes</t>
  </si>
  <si>
    <t>Coste medio de la cesta</t>
  </si>
  <si>
    <t>euros - lo que nos cuestan los productos</t>
  </si>
  <si>
    <t>Margen bruto por cliente</t>
  </si>
  <si>
    <t>Margen bruto %</t>
  </si>
  <si>
    <t>Margen total del segmento</t>
  </si>
  <si>
    <t>= 500 x 350</t>
  </si>
  <si>
    <t>SECCION 2: LAS DOS OFERTAS A COMPARAR</t>
  </si>
  <si>
    <t>Ambas ofertas tienen la misma condicion: pedido superior a 1.000 euros este mes</t>
  </si>
  <si>
    <t>La diferencia es QUE le das al cliente como incentivo</t>
  </si>
  <si>
    <t>Oferta A</t>
  </si>
  <si>
    <t>Oferta B</t>
  </si>
  <si>
    <t>Descripcion</t>
  </si>
  <si>
    <t>Rappel de 7 euros en factura</t>
  </si>
  <si>
    <t>Lote regalo de productos (coste real 15 euros)</t>
  </si>
  <si>
    <t>Coste por cliente que responde</t>
  </si>
  <si>
    <t>Ventaja</t>
  </si>
  <si>
    <t>Barato - BEP bajo</t>
  </si>
  <si>
    <t>Mas atractivo - puede generar mas respuesta</t>
  </si>
  <si>
    <t>Riesgo</t>
  </si>
  <si>
    <t>Poco atractivo - puede generar poca respuesta</t>
  </si>
  <si>
    <t>Caro - necesita mucho incremento de gasto para ser rentable</t>
  </si>
  <si>
    <t>SECCION 3: LA FORMULA CLAVE</t>
  </si>
  <si>
    <t>Margen Neto de la Accion = N x r x (Margen x g - Coste_oferta)</t>
  </si>
  <si>
    <t>Donde:</t>
  </si>
  <si>
    <t>N = 500 (clientes del segmento)</t>
  </si>
  <si>
    <t>r = % de clientes que RESPONDEN a la promo (cambian su comportamiento)</t>
  </si>
  <si>
    <t>g = % de INCREMENTO DE GASTO de cada cliente que responde</t>
  </si>
  <si>
    <t>Margen = 350 euros (margen por cliente)</t>
  </si>
  <si>
    <t>Coste_oferta = lo que nos cuesta DAR el incentivo a cada cliente que responde</t>
  </si>
  <si>
    <t>IMPORTANTE: r NO es clientes nuevos. Es el % de los 500 que reacciona a la promo.</t>
  </si>
  <si>
    <t>Si r=3% significa que 15 de los 500 clientes responden (compran mas gastan mas).</t>
  </si>
  <si>
    <t>Los otros 485 siguen comprando igual que siempre - ni ganan ni pierden.</t>
  </si>
  <si>
    <t>El BEP de cada oferta es cuando: Margen x g = Coste_oferta</t>
  </si>
  <si>
    <t>Oferta A: 350 x g = 7  -&gt;  g = 7/350 = 2.0%</t>
  </si>
  <si>
    <t>Oferta B: 350 x g = 15 -&gt;  g = 15/350 = 4.3%</t>
  </si>
  <si>
    <t>SECCION 4: MATRIZ OFERTA A (Rappel 7 euros)</t>
  </si>
  <si>
    <t>BEP de Oferta A = 2% de incremento de gasto</t>
  </si>
  <si>
    <t>Cada celda = 500 x r x (350 x g - 7)</t>
  </si>
  <si>
    <t>MARGEN NETO (euros)</t>
  </si>
  <si>
    <t>g=1%</t>
  </si>
  <si>
    <t>g=2%</t>
  </si>
  <si>
    <t>g=3%</t>
  </si>
  <si>
    <t>g=4%</t>
  </si>
  <si>
    <t>g=5%</t>
  </si>
  <si>
    <t>r=1%</t>
  </si>
  <si>
    <t>r=3%</t>
  </si>
  <si>
    <t>r=5%</t>
  </si>
  <si>
    <t>r=10%</t>
  </si>
  <si>
    <t>LECTURA: La columna g=2% es toda CEROS = ahi esta el BEP</t>
  </si>
  <si>
    <t>A la izquierda del BEP (g=1%): PIERDES dinero - el gasto extra no cubre el rappel</t>
  </si>
  <si>
    <t>A la derecha del BEP (g=3% en adelante): GANAS dinero</t>
  </si>
  <si>
    <t>Mas respuesta (r alto) AMPLIFICA tanto las perdidas como las ganancias</t>
  </si>
  <si>
    <t>SECCION 5: MATRIZ OFERTA B (Lote regalo 15 euros)</t>
  </si>
  <si>
    <t>BEP de Oferta B = 4.3% de incremento de gasto</t>
  </si>
  <si>
    <t>Cada celda = 500 x r x (350 x g - 15)</t>
  </si>
  <si>
    <t>LECTURA: Casi toda la matriz es ROJA (negativa)</t>
  </si>
  <si>
    <t>Solo a partir de g=5% empiezas a ganar algo</t>
  </si>
  <si>
    <t>El lote regalo es mas caro -&gt; necesitas que el cliente gaste MUCHO mas para compensar</t>
  </si>
  <si>
    <t>SECCION 6: COMPARACION Y DECISION</t>
  </si>
  <si>
    <t>Con los mismos r y g la Oferta A SIEMPRE gana porque cuesta menos</t>
  </si>
  <si>
    <t>Entonces para que comparar?</t>
  </si>
  <si>
    <t>Porque en la realidad la Oferta B (regalo atractivo) puede generar</t>
  </si>
  <si>
    <t>MAS respuesta y MAS gasto que la Oferta A (7 euros de rappel es poco sexy)</t>
  </si>
  <si>
    <t>La pregunta de negocio es:</t>
  </si>
  <si>
    <t>El lote regalo genera suficiente respuesta y gasto EXTRA como para compensar su mayor coste?</t>
  </si>
  <si>
    <t>Ejemplo:</t>
  </si>
  <si>
    <t>Si Oferta A consigue r=3% y g=3%:  Margen = +52.50 euros</t>
  </si>
  <si>
    <t>Si Oferta B consigue r=10% y g=5%: Margen = +125.00 euros</t>
  </si>
  <si>
    <t>En ese caso Oferta B gana a pesar de ser mas cara porque atrae mucha mas gente</t>
  </si>
  <si>
    <t>Pero si Oferta B solo consigue r=5% y g=3%: Margen = -112.50 euros</t>
  </si>
  <si>
    <t>Mientras Oferta A con r=3% y g=3% da +52.50 euros</t>
  </si>
  <si>
    <t>En ese caso Oferta B DESTRUYE valor y Oferta A es claramente mejor</t>
  </si>
  <si>
    <t>CONCLUSION: El BEP te dice el MINIMO que necesitas. La decision depende de</t>
  </si>
  <si>
    <t>lo que REALISTAMENTE crees que cada oferta puede conseguir en respuesta y gasto.</t>
  </si>
  <si>
    <t>Por eso se testa primero con un grupo pequeno antes de lanzar a todo el segmento.</t>
  </si>
  <si>
    <t>¿Cuanto más tiene que gaster el cliente en su ticket medio?</t>
  </si>
  <si>
    <t xml:space="preserve">Clientes que responden </t>
  </si>
  <si>
    <t>Gasto extra por cliente</t>
  </si>
  <si>
    <t>Total ventas extra facturaciójn</t>
  </si>
  <si>
    <t>Margen extra facturacion</t>
  </si>
  <si>
    <t xml:space="preserve">Coste total </t>
  </si>
  <si>
    <t>Neto</t>
  </si>
  <si>
    <t>N</t>
  </si>
  <si>
    <t>TICKET</t>
  </si>
  <si>
    <t>Margen por cliente</t>
  </si>
  <si>
    <t>Coste oferta</t>
  </si>
  <si>
    <t>  clientes que responden</t>
  </si>
  <si>
    <t>margen extra por cliente</t>
  </si>
  <si>
    <t>Margen * Numero de clientes</t>
  </si>
  <si>
    <t>(Margen * Numero de clientes) - coste oferta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</si>
</sst>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4337-3AF2-3A4F-A292-8C3C2ADC60B0}">
  <dimension ref="A1:F106"/>
  <sheetViews>
    <sheetView topLeftCell="A7" workbookViewId="0">
      <selection activeCell="C41" sqref="C41"/>
    </sheetView>
  </sheetViews>
  <sheetFormatPr baseColWidth="10" defaultRowHeight="16" x14ac:dyDescent="0.2"/>
  <cols>
    <col min="1" max="1" width="69.6640625" customWidth="1"/>
    <col min="2" max="2" width="33.6640625" customWidth="1"/>
    <col min="3" max="3" width="61.33203125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4" spans="1:3" x14ac:dyDescent="0.2">
      <c r="A4" t="s">
        <v>2</v>
      </c>
    </row>
    <row r="5" spans="1:3" x14ac:dyDescent="0.2">
      <c r="A5" t="s">
        <v>3</v>
      </c>
    </row>
    <row r="6" spans="1:3" x14ac:dyDescent="0.2">
      <c r="A6" t="s">
        <v>2</v>
      </c>
    </row>
    <row r="7" spans="1:3" x14ac:dyDescent="0.2">
      <c r="A7" t="s">
        <v>4</v>
      </c>
    </row>
    <row r="8" spans="1:3" x14ac:dyDescent="0.2">
      <c r="A8" t="s">
        <v>5</v>
      </c>
      <c r="B8" t="s">
        <v>6</v>
      </c>
      <c r="C8" t="s">
        <v>7</v>
      </c>
    </row>
    <row r="9" spans="1:3" x14ac:dyDescent="0.2">
      <c r="A9" t="s">
        <v>8</v>
      </c>
      <c r="B9">
        <v>500</v>
      </c>
      <c r="C9" t="s">
        <v>9</v>
      </c>
    </row>
    <row r="10" spans="1:3" x14ac:dyDescent="0.2">
      <c r="A10" t="s">
        <v>10</v>
      </c>
      <c r="B10">
        <v>1000</v>
      </c>
      <c r="C10" t="s">
        <v>11</v>
      </c>
    </row>
    <row r="11" spans="1:3" x14ac:dyDescent="0.2">
      <c r="A11" t="s">
        <v>12</v>
      </c>
      <c r="B11">
        <v>650</v>
      </c>
      <c r="C11" t="s">
        <v>13</v>
      </c>
    </row>
    <row r="12" spans="1:3" x14ac:dyDescent="0.2">
      <c r="A12" t="s">
        <v>14</v>
      </c>
      <c r="B12">
        <v>350</v>
      </c>
      <c r="C12">
        <f xml:space="preserve"> 1000 - 650</f>
        <v>350</v>
      </c>
    </row>
    <row r="13" spans="1:3" x14ac:dyDescent="0.2">
      <c r="A13" t="s">
        <v>15</v>
      </c>
      <c r="B13" s="1">
        <v>0.35</v>
      </c>
      <c r="C13">
        <f xml:space="preserve"> 350 / 1000</f>
        <v>0.35</v>
      </c>
    </row>
    <row r="14" spans="1:3" x14ac:dyDescent="0.2">
      <c r="A14" t="s">
        <v>16</v>
      </c>
      <c r="B14">
        <v>175000</v>
      </c>
      <c r="C14" t="s">
        <v>17</v>
      </c>
    </row>
    <row r="16" spans="1:3" x14ac:dyDescent="0.2">
      <c r="A16" t="s">
        <v>2</v>
      </c>
    </row>
    <row r="17" spans="1:3" x14ac:dyDescent="0.2">
      <c r="A17" t="s">
        <v>18</v>
      </c>
    </row>
    <row r="18" spans="1:3" x14ac:dyDescent="0.2">
      <c r="A18" t="s">
        <v>2</v>
      </c>
    </row>
    <row r="19" spans="1:3" x14ac:dyDescent="0.2">
      <c r="A19" t="s">
        <v>19</v>
      </c>
    </row>
    <row r="20" spans="1:3" x14ac:dyDescent="0.2">
      <c r="A20" t="s">
        <v>20</v>
      </c>
    </row>
    <row r="22" spans="1:3" x14ac:dyDescent="0.2">
      <c r="B22" t="s">
        <v>21</v>
      </c>
      <c r="C22" t="s">
        <v>22</v>
      </c>
    </row>
    <row r="23" spans="1:3" x14ac:dyDescent="0.2">
      <c r="A23" t="s">
        <v>23</v>
      </c>
      <c r="B23" t="s">
        <v>24</v>
      </c>
      <c r="C23" t="s">
        <v>25</v>
      </c>
    </row>
    <row r="24" spans="1:3" x14ac:dyDescent="0.2">
      <c r="A24" t="s">
        <v>26</v>
      </c>
      <c r="B24">
        <v>7</v>
      </c>
      <c r="C24">
        <v>15</v>
      </c>
    </row>
    <row r="25" spans="1:3" x14ac:dyDescent="0.2">
      <c r="A25" t="s">
        <v>27</v>
      </c>
      <c r="B25" t="s">
        <v>28</v>
      </c>
      <c r="C25" t="s">
        <v>29</v>
      </c>
    </row>
    <row r="26" spans="1:3" x14ac:dyDescent="0.2">
      <c r="A26" t="s">
        <v>30</v>
      </c>
      <c r="B26" t="s">
        <v>31</v>
      </c>
      <c r="C26" t="s">
        <v>32</v>
      </c>
    </row>
    <row r="27" spans="1:3" x14ac:dyDescent="0.2">
      <c r="B27" t="s">
        <v>87</v>
      </c>
    </row>
    <row r="28" spans="1:3" x14ac:dyDescent="0.2">
      <c r="B28">
        <f xml:space="preserve"> B24 / B13</f>
        <v>20</v>
      </c>
    </row>
    <row r="29" spans="1:3" x14ac:dyDescent="0.2">
      <c r="B29" s="2">
        <f xml:space="preserve"> B28 / B11</f>
        <v>3.0769230769230771E-2</v>
      </c>
    </row>
    <row r="30" spans="1:3" x14ac:dyDescent="0.2">
      <c r="A30" t="s">
        <v>2</v>
      </c>
    </row>
    <row r="31" spans="1:3" x14ac:dyDescent="0.2">
      <c r="A31" t="s">
        <v>33</v>
      </c>
    </row>
    <row r="32" spans="1:3" x14ac:dyDescent="0.2">
      <c r="A32" t="s">
        <v>2</v>
      </c>
    </row>
    <row r="33" spans="1:3" x14ac:dyDescent="0.2">
      <c r="A33" t="s">
        <v>34</v>
      </c>
    </row>
    <row r="35" spans="1:3" x14ac:dyDescent="0.2">
      <c r="A35" t="s">
        <v>35</v>
      </c>
    </row>
    <row r="36" spans="1:3" x14ac:dyDescent="0.2">
      <c r="A36" t="s">
        <v>36</v>
      </c>
    </row>
    <row r="37" spans="1:3" x14ac:dyDescent="0.2">
      <c r="A37" t="s">
        <v>37</v>
      </c>
      <c r="B37" t="s">
        <v>88</v>
      </c>
      <c r="C37">
        <f xml:space="preserve"> 500 * 4%</f>
        <v>20</v>
      </c>
    </row>
    <row r="38" spans="1:3" x14ac:dyDescent="0.2">
      <c r="A38" t="s">
        <v>38</v>
      </c>
      <c r="B38" t="s">
        <v>89</v>
      </c>
      <c r="C38">
        <f xml:space="preserve"> 1000 * 3%</f>
        <v>30</v>
      </c>
    </row>
    <row r="39" spans="1:3" x14ac:dyDescent="0.2">
      <c r="A39" t="s">
        <v>39</v>
      </c>
      <c r="B39" t="s">
        <v>90</v>
      </c>
      <c r="C39">
        <f xml:space="preserve"> 20 * 30</f>
        <v>600</v>
      </c>
    </row>
    <row r="40" spans="1:3" x14ac:dyDescent="0.2">
      <c r="A40" t="s">
        <v>40</v>
      </c>
      <c r="B40" t="s">
        <v>91</v>
      </c>
      <c r="C40">
        <f xml:space="preserve"> 600 * 35%</f>
        <v>210</v>
      </c>
    </row>
    <row r="41" spans="1:3" x14ac:dyDescent="0.2">
      <c r="B41" t="s">
        <v>92</v>
      </c>
      <c r="C41">
        <f xml:space="preserve"> 7 * 20</f>
        <v>140</v>
      </c>
    </row>
    <row r="42" spans="1:3" x14ac:dyDescent="0.2">
      <c r="A42" t="s">
        <v>41</v>
      </c>
      <c r="B42" t="s">
        <v>93</v>
      </c>
      <c r="C42">
        <f xml:space="preserve"> 210 - C41</f>
        <v>70</v>
      </c>
    </row>
    <row r="43" spans="1:3" x14ac:dyDescent="0.2">
      <c r="A43" t="s">
        <v>42</v>
      </c>
    </row>
    <row r="44" spans="1:3" x14ac:dyDescent="0.2">
      <c r="A44" t="s">
        <v>43</v>
      </c>
    </row>
    <row r="46" spans="1:3" x14ac:dyDescent="0.2">
      <c r="A46" t="s">
        <v>44</v>
      </c>
    </row>
    <row r="47" spans="1:3" x14ac:dyDescent="0.2">
      <c r="A47" t="s">
        <v>45</v>
      </c>
    </row>
    <row r="48" spans="1:3" x14ac:dyDescent="0.2">
      <c r="A48" t="s">
        <v>46</v>
      </c>
    </row>
    <row r="50" spans="1:6" x14ac:dyDescent="0.2">
      <c r="A50" t="s">
        <v>2</v>
      </c>
    </row>
    <row r="51" spans="1:6" x14ac:dyDescent="0.2">
      <c r="A51" t="s">
        <v>47</v>
      </c>
    </row>
    <row r="52" spans="1:6" x14ac:dyDescent="0.2">
      <c r="A52" t="s">
        <v>2</v>
      </c>
    </row>
    <row r="53" spans="1:6" x14ac:dyDescent="0.2">
      <c r="A53" t="s">
        <v>48</v>
      </c>
    </row>
    <row r="54" spans="1:6" x14ac:dyDescent="0.2">
      <c r="A54" t="s">
        <v>49</v>
      </c>
    </row>
    <row r="56" spans="1:6" x14ac:dyDescent="0.2">
      <c r="A56" t="s">
        <v>50</v>
      </c>
      <c r="B56" s="1">
        <v>0.01</v>
      </c>
      <c r="C56" s="1">
        <v>0.02</v>
      </c>
      <c r="D56" s="1">
        <v>0.03</v>
      </c>
      <c r="E56" s="1">
        <v>0.04</v>
      </c>
      <c r="F56" s="1">
        <v>0.05</v>
      </c>
    </row>
    <row r="57" spans="1:6" x14ac:dyDescent="0.2">
      <c r="A57" s="1">
        <v>0.01</v>
      </c>
      <c r="C57">
        <v>0</v>
      </c>
      <c r="D57">
        <v>17.5</v>
      </c>
      <c r="E57">
        <v>35</v>
      </c>
      <c r="F57">
        <v>52.5</v>
      </c>
    </row>
    <row r="58" spans="1:6" x14ac:dyDescent="0.2">
      <c r="A58" s="1">
        <v>0.02</v>
      </c>
      <c r="B58">
        <v>-52.5</v>
      </c>
      <c r="C58">
        <v>0</v>
      </c>
      <c r="D58">
        <v>52.5</v>
      </c>
      <c r="E58">
        <v>105</v>
      </c>
      <c r="F58">
        <v>157.5</v>
      </c>
    </row>
    <row r="59" spans="1:6" x14ac:dyDescent="0.2">
      <c r="A59" s="1">
        <v>0.03</v>
      </c>
      <c r="B59">
        <v>-87.5</v>
      </c>
      <c r="C59">
        <v>0</v>
      </c>
      <c r="D59">
        <v>87.5</v>
      </c>
      <c r="E59">
        <v>175</v>
      </c>
      <c r="F59">
        <v>262.5</v>
      </c>
    </row>
    <row r="60" spans="1:6" x14ac:dyDescent="0.2">
      <c r="A60" s="1">
        <v>0.04</v>
      </c>
      <c r="B60">
        <v>-175</v>
      </c>
      <c r="C60">
        <v>0</v>
      </c>
      <c r="D60">
        <v>175</v>
      </c>
      <c r="E60">
        <v>350</v>
      </c>
      <c r="F60">
        <v>525</v>
      </c>
    </row>
    <row r="62" spans="1:6" x14ac:dyDescent="0.2">
      <c r="A62" t="s">
        <v>60</v>
      </c>
    </row>
    <row r="63" spans="1:6" x14ac:dyDescent="0.2">
      <c r="A63" t="s">
        <v>61</v>
      </c>
    </row>
    <row r="64" spans="1:6" x14ac:dyDescent="0.2">
      <c r="A64" t="s">
        <v>62</v>
      </c>
    </row>
    <row r="65" spans="1:6" x14ac:dyDescent="0.2">
      <c r="A65" t="s">
        <v>63</v>
      </c>
    </row>
    <row r="67" spans="1:6" x14ac:dyDescent="0.2">
      <c r="A67" t="s">
        <v>2</v>
      </c>
    </row>
    <row r="68" spans="1:6" x14ac:dyDescent="0.2">
      <c r="A68" t="s">
        <v>64</v>
      </c>
    </row>
    <row r="69" spans="1:6" x14ac:dyDescent="0.2">
      <c r="A69" t="s">
        <v>2</v>
      </c>
      <c r="B69">
        <f xml:space="preserve"> 50 * 35%</f>
        <v>17.5</v>
      </c>
    </row>
    <row r="70" spans="1:6" x14ac:dyDescent="0.2">
      <c r="A70" t="s">
        <v>65</v>
      </c>
    </row>
    <row r="71" spans="1:6" x14ac:dyDescent="0.2">
      <c r="A71" t="s">
        <v>66</v>
      </c>
    </row>
    <row r="73" spans="1:6" x14ac:dyDescent="0.2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</row>
    <row r="74" spans="1:6" x14ac:dyDescent="0.2">
      <c r="A74" t="s">
        <v>56</v>
      </c>
      <c r="B74">
        <v>-57.5</v>
      </c>
      <c r="C74">
        <v>-40</v>
      </c>
      <c r="D74">
        <v>-22.5</v>
      </c>
      <c r="E74">
        <v>-5</v>
      </c>
      <c r="F74">
        <v>12.5</v>
      </c>
    </row>
    <row r="75" spans="1:6" x14ac:dyDescent="0.2">
      <c r="A75" t="s">
        <v>57</v>
      </c>
      <c r="B75">
        <v>-172.5</v>
      </c>
      <c r="C75">
        <v>-120</v>
      </c>
      <c r="D75">
        <v>-67.5</v>
      </c>
      <c r="E75">
        <v>-15</v>
      </c>
      <c r="F75">
        <v>37.5</v>
      </c>
    </row>
    <row r="76" spans="1:6" x14ac:dyDescent="0.2">
      <c r="A76" t="s">
        <v>58</v>
      </c>
      <c r="B76">
        <v>-287.5</v>
      </c>
      <c r="C76">
        <v>-200</v>
      </c>
      <c r="D76">
        <v>-112.5</v>
      </c>
      <c r="E76">
        <v>-25</v>
      </c>
      <c r="F76">
        <v>62.5</v>
      </c>
    </row>
    <row r="77" spans="1:6" x14ac:dyDescent="0.2">
      <c r="A77" t="s">
        <v>59</v>
      </c>
      <c r="B77">
        <v>-575</v>
      </c>
      <c r="C77">
        <v>-400</v>
      </c>
      <c r="D77">
        <v>-225</v>
      </c>
      <c r="E77">
        <v>-50</v>
      </c>
      <c r="F77">
        <v>125</v>
      </c>
    </row>
    <row r="79" spans="1:6" x14ac:dyDescent="0.2">
      <c r="A79" t="s">
        <v>67</v>
      </c>
    </row>
    <row r="80" spans="1:6" x14ac:dyDescent="0.2">
      <c r="A80" t="s">
        <v>68</v>
      </c>
    </row>
    <row r="81" spans="1:1" x14ac:dyDescent="0.2">
      <c r="A81" t="s">
        <v>69</v>
      </c>
    </row>
    <row r="83" spans="1:1" x14ac:dyDescent="0.2">
      <c r="A83" t="s">
        <v>2</v>
      </c>
    </row>
    <row r="84" spans="1:1" x14ac:dyDescent="0.2">
      <c r="A84" t="s">
        <v>70</v>
      </c>
    </row>
    <row r="85" spans="1:1" x14ac:dyDescent="0.2">
      <c r="A85" t="s">
        <v>2</v>
      </c>
    </row>
    <row r="86" spans="1:1" x14ac:dyDescent="0.2">
      <c r="A86" t="s">
        <v>71</v>
      </c>
    </row>
    <row r="87" spans="1:1" x14ac:dyDescent="0.2">
      <c r="A87" t="s">
        <v>72</v>
      </c>
    </row>
    <row r="89" spans="1:1" x14ac:dyDescent="0.2">
      <c r="A89" t="s">
        <v>73</v>
      </c>
    </row>
    <row r="90" spans="1:1" x14ac:dyDescent="0.2">
      <c r="A90" t="s">
        <v>74</v>
      </c>
    </row>
    <row r="92" spans="1:1" x14ac:dyDescent="0.2">
      <c r="A92" t="s">
        <v>75</v>
      </c>
    </row>
    <row r="93" spans="1:1" x14ac:dyDescent="0.2">
      <c r="A93" t="s">
        <v>76</v>
      </c>
    </row>
    <row r="95" spans="1:1" x14ac:dyDescent="0.2">
      <c r="A95" t="s">
        <v>77</v>
      </c>
    </row>
    <row r="96" spans="1:1" x14ac:dyDescent="0.2">
      <c r="A96" t="s">
        <v>78</v>
      </c>
    </row>
    <row r="97" spans="1:1" x14ac:dyDescent="0.2">
      <c r="A97" t="s">
        <v>79</v>
      </c>
    </row>
    <row r="98" spans="1:1" x14ac:dyDescent="0.2">
      <c r="A98" t="s">
        <v>80</v>
      </c>
    </row>
    <row r="100" spans="1:1" x14ac:dyDescent="0.2">
      <c r="A100" t="s">
        <v>81</v>
      </c>
    </row>
    <row r="101" spans="1:1" x14ac:dyDescent="0.2">
      <c r="A101" t="s">
        <v>82</v>
      </c>
    </row>
    <row r="102" spans="1:1" x14ac:dyDescent="0.2">
      <c r="A102" t="s">
        <v>83</v>
      </c>
    </row>
    <row r="104" spans="1:1" x14ac:dyDescent="0.2">
      <c r="A104" t="s">
        <v>84</v>
      </c>
    </row>
    <row r="105" spans="1:1" x14ac:dyDescent="0.2">
      <c r="A105" t="s">
        <v>85</v>
      </c>
    </row>
    <row r="106" spans="1:1" x14ac:dyDescent="0.2">
      <c r="A10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F59B-4289-7440-ABD5-74570D554C96}">
  <dimension ref="A3:E24"/>
  <sheetViews>
    <sheetView tabSelected="1" workbookViewId="0">
      <selection activeCell="D30" sqref="D30"/>
    </sheetView>
  </sheetViews>
  <sheetFormatPr baseColWidth="10" defaultRowHeight="16" x14ac:dyDescent="0.2"/>
  <cols>
    <col min="2" max="2" width="23.33203125" customWidth="1"/>
  </cols>
  <sheetData>
    <row r="3" spans="1:5" x14ac:dyDescent="0.2">
      <c r="A3" t="s">
        <v>94</v>
      </c>
      <c r="B3">
        <v>500</v>
      </c>
    </row>
    <row r="4" spans="1:5" x14ac:dyDescent="0.2">
      <c r="A4" t="s">
        <v>95</v>
      </c>
      <c r="B4">
        <v>1000</v>
      </c>
    </row>
    <row r="6" spans="1:5" x14ac:dyDescent="0.2">
      <c r="A6" t="s">
        <v>96</v>
      </c>
      <c r="B6">
        <v>350</v>
      </c>
    </row>
    <row r="8" spans="1:5" x14ac:dyDescent="0.2">
      <c r="A8" t="s">
        <v>97</v>
      </c>
      <c r="B8">
        <v>7</v>
      </c>
    </row>
    <row r="14" spans="1:5" x14ac:dyDescent="0.2">
      <c r="C14" s="1">
        <v>0.01</v>
      </c>
      <c r="D14" s="1">
        <v>0.02</v>
      </c>
      <c r="E14" s="1">
        <v>0.03</v>
      </c>
    </row>
    <row r="15" spans="1:5" x14ac:dyDescent="0.2">
      <c r="B15" s="1">
        <v>0.01</v>
      </c>
      <c r="C15">
        <f>B15*B3 *(C14 *B6 - B8)</f>
        <v>-17.5</v>
      </c>
    </row>
    <row r="16" spans="1:5" x14ac:dyDescent="0.2">
      <c r="B16" s="1">
        <v>0.02</v>
      </c>
    </row>
    <row r="17" spans="2:3" x14ac:dyDescent="0.2">
      <c r="B17" s="1">
        <v>0.03</v>
      </c>
    </row>
    <row r="21" spans="2:3" x14ac:dyDescent="0.2">
      <c r="B21" s="3" t="s">
        <v>98</v>
      </c>
      <c r="C21">
        <f xml:space="preserve"> 500 * 1%</f>
        <v>5</v>
      </c>
    </row>
    <row r="22" spans="2:3" x14ac:dyDescent="0.2">
      <c r="B22" s="3" t="s">
        <v>99</v>
      </c>
      <c r="C22">
        <f xml:space="preserve"> B6 * C14</f>
        <v>3.5</v>
      </c>
    </row>
    <row r="23" spans="2:3" x14ac:dyDescent="0.2">
      <c r="B23" t="s">
        <v>100</v>
      </c>
      <c r="C23">
        <f xml:space="preserve"> C21 * C22</f>
        <v>17.5</v>
      </c>
    </row>
    <row r="24" spans="2:3" x14ac:dyDescent="0.2">
      <c r="B24" t="s">
        <v>101</v>
      </c>
      <c r="C24">
        <f>C23 - 7</f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 Lamas</dc:creator>
  <cp:lastModifiedBy>Alejandro Campos Lamas</cp:lastModifiedBy>
  <dcterms:created xsi:type="dcterms:W3CDTF">2026-02-17T11:48:26Z</dcterms:created>
  <dcterms:modified xsi:type="dcterms:W3CDTF">2026-02-17T14:32:47Z</dcterms:modified>
</cp:coreProperties>
</file>