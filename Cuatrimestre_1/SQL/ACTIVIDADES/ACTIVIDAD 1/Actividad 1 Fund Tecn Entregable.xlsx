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\Asignaturas\Fundamentos tecnológicos para el Tratamiento y Análisis de Datos\Actividades\Actividad 1 24.11\"/>
    </mc:Choice>
  </mc:AlternateContent>
  <xr:revisionPtr revIDLastSave="0" documentId="13_ncr:1_{4F283CF5-C16C-4F06-ABB9-95C09219B1ED}" xr6:coauthVersionLast="47" xr6:coauthVersionMax="47" xr10:uidLastSave="{00000000-0000-0000-0000-000000000000}"/>
  <bookViews>
    <workbookView xWindow="-105" yWindow="0" windowWidth="14610" windowHeight="15585" xr2:uid="{7459671B-3F5F-46B0-A01B-71014D8AC26A}"/>
  </bookViews>
  <sheets>
    <sheet name="SERVICIO DE VENTA-POSTVENTA" sheetId="1" r:id="rId1"/>
    <sheet name="TIPO DE MOTOCICLETAS" sheetId="2" r:id="rId2"/>
    <sheet name="EMPLEADOS" sheetId="4" r:id="rId3"/>
    <sheet name="MECÁNICOS" sheetId="5" r:id="rId4"/>
    <sheet name="VENDEDORE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7" l="1"/>
  <c r="E7" i="7"/>
</calcChain>
</file>

<file path=xl/sharedStrings.xml><?xml version="1.0" encoding="utf-8"?>
<sst xmlns="http://schemas.openxmlformats.org/spreadsheetml/2006/main" count="99" uniqueCount="70">
  <si>
    <t>EMPLEADOS</t>
  </si>
  <si>
    <t>VENDEDORES</t>
  </si>
  <si>
    <t>MECÁNICOS</t>
  </si>
  <si>
    <t>SERVICIO DE VENTA-POSTVENTA</t>
  </si>
  <si>
    <t>Id Factura</t>
  </si>
  <si>
    <t>Fecha Pedido</t>
  </si>
  <si>
    <t>Tipo Reserva</t>
  </si>
  <si>
    <t>Tipo Venta</t>
  </si>
  <si>
    <t>Seguro</t>
  </si>
  <si>
    <t>TIPO DE MOTOCICLETAS</t>
  </si>
  <si>
    <t>Id Moto</t>
  </si>
  <si>
    <t>Marca</t>
  </si>
  <si>
    <t>Modelo</t>
  </si>
  <si>
    <t>Cilindrada</t>
  </si>
  <si>
    <t xml:space="preserve">Precio </t>
  </si>
  <si>
    <t>Color</t>
  </si>
  <si>
    <t>Id Empleado</t>
  </si>
  <si>
    <t xml:space="preserve">Nombre </t>
  </si>
  <si>
    <t>Apellidos</t>
  </si>
  <si>
    <t>Fecha Nac</t>
  </si>
  <si>
    <t>Salario/hora</t>
  </si>
  <si>
    <t>Id Mecánico</t>
  </si>
  <si>
    <t xml:space="preserve">Antigüedad </t>
  </si>
  <si>
    <t>Especialidad</t>
  </si>
  <si>
    <t>M00023</t>
  </si>
  <si>
    <t>M00025</t>
  </si>
  <si>
    <t>M00026</t>
  </si>
  <si>
    <t>M00027</t>
  </si>
  <si>
    <t>Mecánica</t>
  </si>
  <si>
    <t>Electrónica</t>
  </si>
  <si>
    <t>Id Vendedor</t>
  </si>
  <si>
    <t>Departamento</t>
  </si>
  <si>
    <t>Antigüedad</t>
  </si>
  <si>
    <t>Salario fijo mensual</t>
  </si>
  <si>
    <t>Cmi por venta</t>
  </si>
  <si>
    <t>V00052</t>
  </si>
  <si>
    <t>Comercial</t>
  </si>
  <si>
    <t>Postventa</t>
  </si>
  <si>
    <t>V00075</t>
  </si>
  <si>
    <t>id Moto</t>
  </si>
  <si>
    <t>Yamaha</t>
  </si>
  <si>
    <t>R7</t>
  </si>
  <si>
    <t>R3</t>
  </si>
  <si>
    <t>R125</t>
  </si>
  <si>
    <t>Azul</t>
  </si>
  <si>
    <t>Negra</t>
  </si>
  <si>
    <t>Concesionario</t>
  </si>
  <si>
    <t>Directa</t>
  </si>
  <si>
    <t>Renting</t>
  </si>
  <si>
    <t>Sí</t>
  </si>
  <si>
    <t>Relaciones</t>
  </si>
  <si>
    <t>Un empleado puede ser mecánico o vendedor, nunca ambos</t>
  </si>
  <si>
    <t>Una factura sólo puede contener una única moto.</t>
  </si>
  <si>
    <t xml:space="preserve">Un modelo de moto puede estar presente en varias facturas. El mismo tipo de modelo puede ser vendido a varios clientes. </t>
  </si>
  <si>
    <t xml:space="preserve">Los diferentes modelos de motos pueden ser vendidos por diferentes vendedores. </t>
  </si>
  <si>
    <t>A un mecánico se le asigna una o más motos para su revisión o mantenimiento.</t>
  </si>
  <si>
    <t xml:space="preserve">Una moto puede tener asignado un único mecánico en una misma venta. </t>
  </si>
  <si>
    <t>Carlos</t>
  </si>
  <si>
    <t>Méndez Ruiz</t>
  </si>
  <si>
    <t xml:space="preserve">Laura </t>
  </si>
  <si>
    <t>García Benítez</t>
  </si>
  <si>
    <t xml:space="preserve">Javier </t>
  </si>
  <si>
    <t>López Santana</t>
  </si>
  <si>
    <t xml:space="preserve">Andrés </t>
  </si>
  <si>
    <t>Molina Pérez</t>
  </si>
  <si>
    <t>Pasaporte</t>
  </si>
  <si>
    <t>P12345678</t>
  </si>
  <si>
    <t>P22453276</t>
  </si>
  <si>
    <t>P54272736</t>
  </si>
  <si>
    <t>P72825520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</si>
</sst>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 applyFill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765C2-B323-4382-BD35-E6B492C207AF}" name="Tabla3" displayName="Tabla3" ref="A6:H10" totalsRowShown="0">
  <autoFilter ref="A6:H10" xr:uid="{0D3765C2-B323-4382-BD35-E6B492C207AF}"/>
  <tableColumns count="8">
    <tableColumn id="1" xr3:uid="{D495714C-F962-40BB-868E-ECAF0A21E77E}" name="Id Factura"/>
    <tableColumn id="2" xr3:uid="{217699E3-7F46-4839-954E-F1EC02C72ECA}" name="Fecha Pedido"/>
    <tableColumn id="3" xr3:uid="{D6B99065-54E4-455F-9E8F-77F909460053}" name="Tipo Reserva"/>
    <tableColumn id="4" xr3:uid="{785A318F-B2A9-4BA8-9518-4E1FF4CCE182}" name="Tipo Venta"/>
    <tableColumn id="5" xr3:uid="{164F4F65-8D99-43DE-B06B-5BA6571A227B}" name="Seguro"/>
    <tableColumn id="6" xr3:uid="{135B3AF6-FB54-4982-B116-7310DAA148EB}" name="id Moto"/>
    <tableColumn id="8" xr3:uid="{BA716C39-DA82-4350-8CCF-61271CC00410}" name="Id Vendedor"/>
    <tableColumn id="10" xr3:uid="{6E561B89-A953-4EBC-A2B9-F0D680AFB405}" name="Id Mecánico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871BB9-6787-441E-AB7B-3455D2C605A5}" name="Tabla4" displayName="Tabla4" ref="A6:G10" totalsRowShown="0">
  <autoFilter ref="A6:G10" xr:uid="{22871BB9-6787-441E-AB7B-3455D2C605A5}"/>
  <tableColumns count="7">
    <tableColumn id="1" xr3:uid="{07E2A9CA-3C80-4F39-9368-6DF464D3865E}" name="Id Moto"/>
    <tableColumn id="2" xr3:uid="{9A0D7FA2-E1DC-46D5-BF8E-A33A402E6BA2}" name="Marca"/>
    <tableColumn id="3" xr3:uid="{201917C9-4591-44AC-9096-DAD0E14B326F}" name="Modelo"/>
    <tableColumn id="4" xr3:uid="{CE0B957F-580E-46C8-AB1B-B432B006B211}" name="Cilindrada"/>
    <tableColumn id="5" xr3:uid="{AA5C44D8-2B72-4B4C-B9E7-7F33E045121D}" name="Precio "/>
    <tableColumn id="6" xr3:uid="{6EA38113-EF36-4BFA-97D8-46A679BE11C2}" name="Color"/>
    <tableColumn id="7" xr3:uid="{6ED18698-A3DE-47AD-B985-80F305931886}" name="Id Mecánico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150CEF-D1B5-468C-AA25-1FDE21AE42EF}" name="Tabla52" displayName="Tabla52" ref="A7:E11" totalsRowShown="0">
  <autoFilter ref="A7:E11" xr:uid="{13150CEF-D1B5-468C-AA25-1FDE21AE42EF}"/>
  <tableColumns count="5">
    <tableColumn id="1" xr3:uid="{EDFB0A18-2EC2-4D25-9F50-83445881E481}" name="Id Empleado"/>
    <tableColumn id="2" xr3:uid="{780AD68D-00F7-41E2-A03D-3B575E6255DD}" name="Nombre "/>
    <tableColumn id="3" xr3:uid="{AB6BF768-5F6B-4804-9409-FB3F0DDE259A}" name="Apellidos"/>
    <tableColumn id="4" xr3:uid="{5C2FAB9D-E75C-45CA-9F0C-3254E2AEDA61}" name="Fecha Nac"/>
    <tableColumn id="5" xr3:uid="{107E77E9-7250-4B7A-9D33-339901801FA7}" name="Pasaporte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652D02-E057-4749-A405-B6CA52CAFCEF}" name="Tabla6" displayName="Tabla6" ref="A6:E8" totalsRowShown="0">
  <autoFilter ref="A6:E8" xr:uid="{35652D02-E057-4749-A405-B6CA52CAFCEF}"/>
  <tableColumns count="5">
    <tableColumn id="1" xr3:uid="{B6E1A766-E22E-4BEF-A7D9-3305E9E68D23}" name="Id Mecánico"/>
    <tableColumn id="2" xr3:uid="{B6980F0E-39CD-46A3-9A04-0C507CD3E20E}" name="Antigüedad " dataDxfId="1"/>
    <tableColumn id="3" xr3:uid="{96DC2C05-CB0F-4747-88F2-2632830CD099}" name="Especialidad"/>
    <tableColumn id="4" xr3:uid="{193E7228-95E4-47DD-BD2E-6055C30703FB}" name="Salario/hora"/>
    <tableColumn id="5" xr3:uid="{8BF1EA45-1AA2-44DC-AAF6-BB2780D64AAA}" name="Id Empleado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19D64A-2788-41D4-AC1F-0E7CE246DC4D}" name="Tabla11" displayName="Tabla11" ref="A6:F8" totalsRowShown="0">
  <autoFilter ref="A6:F8" xr:uid="{2C19D64A-2788-41D4-AC1F-0E7CE246DC4D}"/>
  <tableColumns count="6">
    <tableColumn id="1" xr3:uid="{877C888D-D820-472A-A124-03B48100B671}" name="Id Vendedor"/>
    <tableColumn id="2" xr3:uid="{44B0DA30-9DCB-4517-99E0-0D9A1B785F3F}" name="Departamento"/>
    <tableColumn id="3" xr3:uid="{27A21F97-9D78-42D2-B167-810CF5B00D5F}" name="Antigüedad"/>
    <tableColumn id="4" xr3:uid="{316A7F6C-6DD9-4479-B78E-4367F3936EA5}" name="Cmi por venta"/>
    <tableColumn id="5" xr3:uid="{75E5299E-23B3-4F11-BCFB-778384C56511}" name="Salario fijo mensual" dataDxfId="0">
      <calculatedColumnFormula>#REF!*30*8</calculatedColumnFormula>
    </tableColumn>
    <tableColumn id="6" xr3:uid="{D739DD60-3241-42B0-AE98-3A438D344AE7}" name="Id Emplead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69BB-B3A5-40F0-AA66-C2018E7312B4}">
  <dimension ref="A4:J41"/>
  <sheetViews>
    <sheetView tabSelected="1" workbookViewId="0">
      <selection activeCell="I4" sqref="I4"/>
    </sheetView>
  </sheetViews>
  <sheetFormatPr baseColWidth="10" defaultRowHeight="15" x14ac:dyDescent="0.25"/>
  <cols>
    <col min="1" max="1" width="12" customWidth="1"/>
    <col min="2" max="2" width="15" customWidth="1"/>
    <col min="3" max="3" width="14.28515625" customWidth="1"/>
    <col min="4" max="4" width="12.42578125" customWidth="1"/>
    <col min="12" max="12" width="14.140625" customWidth="1"/>
    <col min="13" max="13" width="15.7109375" customWidth="1"/>
    <col min="14" max="14" width="14.5703125" customWidth="1"/>
    <col min="15" max="15" width="15.140625" customWidth="1"/>
    <col min="16" max="16" width="20.85546875" customWidth="1"/>
    <col min="17" max="17" width="14.140625" customWidth="1"/>
  </cols>
  <sheetData>
    <row r="4" spans="1:10" x14ac:dyDescent="0.25">
      <c r="A4" s="1" t="s">
        <v>3</v>
      </c>
    </row>
    <row r="6" spans="1:10" x14ac:dyDescent="0.25">
      <c r="A6" s="3" t="s">
        <v>4</v>
      </c>
      <c r="B6" t="s">
        <v>5</v>
      </c>
      <c r="C6" t="s">
        <v>6</v>
      </c>
      <c r="D6" t="s">
        <v>7</v>
      </c>
      <c r="E6" t="s">
        <v>8</v>
      </c>
      <c r="F6" s="5" t="s">
        <v>39</v>
      </c>
      <c r="G6" s="5" t="s">
        <v>30</v>
      </c>
      <c r="H6" s="5" t="s">
        <v>21</v>
      </c>
      <c r="I6" s="7"/>
      <c r="J6" s="7"/>
    </row>
    <row r="7" spans="1:10" x14ac:dyDescent="0.25">
      <c r="A7">
        <v>1101</v>
      </c>
      <c r="B7" s="4">
        <v>45944</v>
      </c>
      <c r="C7" t="s">
        <v>46</v>
      </c>
      <c r="D7" t="s">
        <v>47</v>
      </c>
      <c r="E7" t="s">
        <v>49</v>
      </c>
      <c r="F7">
        <v>21</v>
      </c>
      <c r="G7" t="s">
        <v>35</v>
      </c>
      <c r="H7" t="s">
        <v>24</v>
      </c>
    </row>
    <row r="8" spans="1:10" x14ac:dyDescent="0.25">
      <c r="A8">
        <v>1102</v>
      </c>
      <c r="B8" s="4">
        <v>45946</v>
      </c>
      <c r="C8" t="s">
        <v>46</v>
      </c>
      <c r="D8" t="s">
        <v>48</v>
      </c>
      <c r="E8" t="s">
        <v>49</v>
      </c>
      <c r="F8">
        <v>22</v>
      </c>
      <c r="G8" t="s">
        <v>35</v>
      </c>
      <c r="H8" t="s">
        <v>24</v>
      </c>
    </row>
    <row r="9" spans="1:10" x14ac:dyDescent="0.25">
      <c r="A9">
        <v>1103</v>
      </c>
      <c r="B9" s="4">
        <v>45947</v>
      </c>
      <c r="C9" t="s">
        <v>46</v>
      </c>
      <c r="D9" t="s">
        <v>47</v>
      </c>
      <c r="E9" t="s">
        <v>49</v>
      </c>
      <c r="F9">
        <v>23</v>
      </c>
      <c r="G9" t="s">
        <v>38</v>
      </c>
      <c r="H9" t="s">
        <v>24</v>
      </c>
    </row>
    <row r="10" spans="1:10" x14ac:dyDescent="0.25">
      <c r="A10">
        <v>1104</v>
      </c>
      <c r="B10" s="4">
        <v>45947</v>
      </c>
      <c r="C10" t="s">
        <v>46</v>
      </c>
      <c r="D10" t="s">
        <v>47</v>
      </c>
      <c r="E10" t="s">
        <v>49</v>
      </c>
      <c r="F10">
        <v>24</v>
      </c>
      <c r="G10" t="s">
        <v>35</v>
      </c>
      <c r="H10" t="s">
        <v>25</v>
      </c>
    </row>
    <row r="34" spans="1:1" x14ac:dyDescent="0.25">
      <c r="A34" t="s">
        <v>50</v>
      </c>
    </row>
    <row r="36" spans="1:1" x14ac:dyDescent="0.25">
      <c r="A36" t="s">
        <v>51</v>
      </c>
    </row>
    <row r="37" spans="1:1" x14ac:dyDescent="0.25">
      <c r="A37" t="s">
        <v>52</v>
      </c>
    </row>
    <row r="38" spans="1:1" x14ac:dyDescent="0.25">
      <c r="A38" t="s">
        <v>53</v>
      </c>
    </row>
    <row r="39" spans="1:1" x14ac:dyDescent="0.25">
      <c r="A39" t="s">
        <v>54</v>
      </c>
    </row>
    <row r="40" spans="1:1" x14ac:dyDescent="0.25">
      <c r="A40" t="s">
        <v>55</v>
      </c>
    </row>
    <row r="41" spans="1:1" x14ac:dyDescent="0.25">
      <c r="A41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276E-B093-40D7-BD1F-FCD28C51CFF8}">
  <dimension ref="A4:G10"/>
  <sheetViews>
    <sheetView workbookViewId="0">
      <selection activeCell="D16" sqref="D16"/>
    </sheetView>
  </sheetViews>
  <sheetFormatPr baseColWidth="10" defaultRowHeight="15" x14ac:dyDescent="0.25"/>
  <sheetData>
    <row r="4" spans="1:7" x14ac:dyDescent="0.25">
      <c r="A4" s="2" t="s">
        <v>9</v>
      </c>
    </row>
    <row r="6" spans="1:7" x14ac:dyDescent="0.25">
      <c r="A6" s="3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s="5" t="s">
        <v>21</v>
      </c>
    </row>
    <row r="7" spans="1:7" x14ac:dyDescent="0.25">
      <c r="A7">
        <v>21</v>
      </c>
      <c r="B7" t="s">
        <v>40</v>
      </c>
      <c r="C7" t="s">
        <v>41</v>
      </c>
      <c r="D7">
        <v>689</v>
      </c>
      <c r="E7">
        <v>9799</v>
      </c>
      <c r="F7" t="s">
        <v>44</v>
      </c>
      <c r="G7" t="s">
        <v>24</v>
      </c>
    </row>
    <row r="8" spans="1:7" x14ac:dyDescent="0.25">
      <c r="A8">
        <v>22</v>
      </c>
      <c r="B8" t="s">
        <v>40</v>
      </c>
      <c r="C8" t="s">
        <v>41</v>
      </c>
      <c r="D8">
        <v>689</v>
      </c>
      <c r="E8">
        <v>9799</v>
      </c>
      <c r="F8" t="s">
        <v>45</v>
      </c>
      <c r="G8" t="s">
        <v>24</v>
      </c>
    </row>
    <row r="9" spans="1:7" x14ac:dyDescent="0.25">
      <c r="A9">
        <v>23</v>
      </c>
      <c r="B9" t="s">
        <v>40</v>
      </c>
      <c r="C9" t="s">
        <v>42</v>
      </c>
      <c r="D9">
        <v>321</v>
      </c>
      <c r="E9">
        <v>6899</v>
      </c>
      <c r="F9" t="s">
        <v>44</v>
      </c>
      <c r="G9" t="s">
        <v>26</v>
      </c>
    </row>
    <row r="10" spans="1:7" x14ac:dyDescent="0.25">
      <c r="A10">
        <v>24</v>
      </c>
      <c r="B10" t="s">
        <v>40</v>
      </c>
      <c r="C10" t="s">
        <v>43</v>
      </c>
      <c r="D10">
        <v>125</v>
      </c>
      <c r="E10">
        <v>5339</v>
      </c>
      <c r="F10" t="s">
        <v>44</v>
      </c>
      <c r="G10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DF71-747D-434B-AD0B-96B827AD1D70}">
  <dimension ref="A4:E11"/>
  <sheetViews>
    <sheetView workbookViewId="0">
      <selection activeCell="E12" sqref="E12"/>
    </sheetView>
  </sheetViews>
  <sheetFormatPr baseColWidth="10" defaultRowHeight="15" x14ac:dyDescent="0.25"/>
  <sheetData>
    <row r="4" spans="1:5" x14ac:dyDescent="0.25">
      <c r="A4" s="2" t="s">
        <v>0</v>
      </c>
    </row>
    <row r="7" spans="1:5" x14ac:dyDescent="0.25">
      <c r="A7" s="3" t="s">
        <v>16</v>
      </c>
      <c r="B7" t="s">
        <v>17</v>
      </c>
      <c r="C7" t="s">
        <v>18</v>
      </c>
      <c r="D7" t="s">
        <v>19</v>
      </c>
      <c r="E7" t="s">
        <v>65</v>
      </c>
    </row>
    <row r="8" spans="1:5" x14ac:dyDescent="0.25">
      <c r="A8">
        <v>90413</v>
      </c>
      <c r="B8" t="s">
        <v>57</v>
      </c>
      <c r="C8" t="s">
        <v>58</v>
      </c>
      <c r="D8" s="4">
        <v>28602</v>
      </c>
      <c r="E8" t="s">
        <v>66</v>
      </c>
    </row>
    <row r="9" spans="1:5" x14ac:dyDescent="0.25">
      <c r="A9">
        <v>90888</v>
      </c>
      <c r="B9" t="s">
        <v>59</v>
      </c>
      <c r="C9" t="s">
        <v>60</v>
      </c>
      <c r="D9" s="4">
        <v>28903</v>
      </c>
      <c r="E9" t="s">
        <v>67</v>
      </c>
    </row>
    <row r="10" spans="1:5" x14ac:dyDescent="0.25">
      <c r="A10">
        <v>100446</v>
      </c>
      <c r="B10" s="4" t="s">
        <v>61</v>
      </c>
      <c r="C10" t="s">
        <v>62</v>
      </c>
      <c r="D10" s="4">
        <v>29910</v>
      </c>
      <c r="E10" t="s">
        <v>68</v>
      </c>
    </row>
    <row r="11" spans="1:5" x14ac:dyDescent="0.25">
      <c r="A11">
        <v>100562</v>
      </c>
      <c r="B11" s="4" t="s">
        <v>63</v>
      </c>
      <c r="C11" t="s">
        <v>64</v>
      </c>
      <c r="D11" s="4">
        <v>29721</v>
      </c>
      <c r="E11" t="s">
        <v>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4BEA-DF0E-4161-BE2E-A64503377743}">
  <dimension ref="A4:E8"/>
  <sheetViews>
    <sheetView workbookViewId="0">
      <selection activeCell="D8" sqref="D8"/>
    </sheetView>
  </sheetViews>
  <sheetFormatPr baseColWidth="10" defaultRowHeight="15" x14ac:dyDescent="0.25"/>
  <sheetData>
    <row r="4" spans="1:5" x14ac:dyDescent="0.25">
      <c r="A4" s="2" t="s">
        <v>2</v>
      </c>
    </row>
    <row r="6" spans="1:5" x14ac:dyDescent="0.25">
      <c r="A6" s="3" t="s">
        <v>21</v>
      </c>
      <c r="B6" t="s">
        <v>22</v>
      </c>
      <c r="C6" t="s">
        <v>23</v>
      </c>
      <c r="D6" t="s">
        <v>20</v>
      </c>
      <c r="E6" s="5" t="s">
        <v>16</v>
      </c>
    </row>
    <row r="7" spans="1:5" x14ac:dyDescent="0.25">
      <c r="A7" t="s">
        <v>24</v>
      </c>
      <c r="B7" s="4">
        <v>38075</v>
      </c>
      <c r="C7" t="s">
        <v>28</v>
      </c>
      <c r="D7">
        <v>8</v>
      </c>
      <c r="E7">
        <v>100446</v>
      </c>
    </row>
    <row r="8" spans="1:5" x14ac:dyDescent="0.25">
      <c r="A8" t="s">
        <v>25</v>
      </c>
      <c r="B8" s="4">
        <v>38078</v>
      </c>
      <c r="C8" t="s">
        <v>29</v>
      </c>
      <c r="D8">
        <v>8.5</v>
      </c>
      <c r="E8">
        <v>100562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CB9D-0F27-4AFA-95F3-6A4F20D4371B}">
  <dimension ref="A4:F8"/>
  <sheetViews>
    <sheetView workbookViewId="0">
      <selection activeCell="E9" sqref="E9"/>
    </sheetView>
  </sheetViews>
  <sheetFormatPr baseColWidth="10" defaultRowHeight="15" x14ac:dyDescent="0.25"/>
  <sheetData>
    <row r="4" spans="1:6" x14ac:dyDescent="0.25">
      <c r="A4" s="2" t="s">
        <v>1</v>
      </c>
    </row>
    <row r="6" spans="1:6" x14ac:dyDescent="0.25">
      <c r="A6" s="3" t="s">
        <v>30</v>
      </c>
      <c r="B6" t="s">
        <v>31</v>
      </c>
      <c r="C6" t="s">
        <v>32</v>
      </c>
      <c r="D6" t="s">
        <v>34</v>
      </c>
      <c r="E6" t="s">
        <v>33</v>
      </c>
      <c r="F6" s="5" t="s">
        <v>16</v>
      </c>
    </row>
    <row r="7" spans="1:6" x14ac:dyDescent="0.25">
      <c r="A7" t="s">
        <v>35</v>
      </c>
      <c r="B7" t="s">
        <v>36</v>
      </c>
      <c r="C7" s="4">
        <v>37319</v>
      </c>
      <c r="D7" s="6">
        <v>0.03</v>
      </c>
      <c r="E7">
        <f>7.5*8*30</f>
        <v>1800</v>
      </c>
      <c r="F7">
        <v>90413</v>
      </c>
    </row>
    <row r="8" spans="1:6" x14ac:dyDescent="0.25">
      <c r="A8" t="s">
        <v>38</v>
      </c>
      <c r="B8" t="s">
        <v>37</v>
      </c>
      <c r="C8" s="4">
        <v>37438</v>
      </c>
      <c r="D8" s="6">
        <v>0.03</v>
      </c>
      <c r="E8">
        <f>7*8*30</f>
        <v>1680</v>
      </c>
      <c r="F8">
        <v>90888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SERVICIO DE VENTA-POSTVENTA</vt:lpstr>
      <vt:lpstr>TIPO DE MOTOCICLETAS</vt:lpstr>
      <vt:lpstr>EMPLEADOS</vt:lpstr>
      <vt:lpstr>MECÁNICOS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de pino florido ramirez</dc:creator>
  <cp:lastModifiedBy>leticia de pino florido ramirez</cp:lastModifiedBy>
  <dcterms:created xsi:type="dcterms:W3CDTF">2025-11-07T20:23:57Z</dcterms:created>
  <dcterms:modified xsi:type="dcterms:W3CDTF">2025-11-22T19:56:55Z</dcterms:modified>
</cp:coreProperties>
</file>